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fj\Downloads\"/>
    </mc:Choice>
  </mc:AlternateContent>
  <xr:revisionPtr revIDLastSave="0" documentId="13_ncr:1_{4BA0C1C4-7677-41D0-A321-277DA9104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Analíticos" sheetId="1" r:id="rId1"/>
    <sheet name="Resumo" sheetId="2" r:id="rId2"/>
    <sheet name="Critérios QP" sheetId="3" r:id="rId3"/>
    <sheet name="Painel Infográfico" sheetId="4" r:id="rId4"/>
    <sheet name="Dados dos Gráfic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<sst xmlns="http://schemas.openxmlformats.org/spreadsheetml/2006/main" count="378" uniqueCount="319">
  <si>
    <t>Tabela de Dados Analíticos: IA na Engenharia Civil</t>
  </si>
  <si>
    <t>Estudo</t>
  </si>
  <si>
    <t>Título</t>
  </si>
  <si>
    <t>Área da engenharia civil</t>
  </si>
  <si>
    <t>Problema investigado</t>
  </si>
  <si>
    <t>Objetivo do estudo</t>
  </si>
  <si>
    <t>Técnica de IA utilizada</t>
  </si>
  <si>
    <t>Tipo de dado</t>
  </si>
  <si>
    <t>Métricas de avaliação</t>
  </si>
  <si>
    <t>Principais resultados</t>
  </si>
  <si>
    <t>Limitações apontadas</t>
  </si>
  <si>
    <t>Adaptive Congestion Control in VANET Using MARL Based Transfer Learning Technique</t>
  </si>
  <si>
    <t>Transportes / Infraestrutura Rodoviária</t>
  </si>
  <si>
    <t>Congestão em Redes Veiculares Ad Hoc (VANETs).</t>
  </si>
  <si>
    <t>Otimizar métricas de rede (atraso, vazão e justiça) via controle adaptativo.</t>
  </si>
  <si>
    <t>GCN; MO-MARL.</t>
  </si>
  <si>
    <t>Séries temporais de tráfego (simulados via SUMO).</t>
  </si>
  <si>
    <t>Atraso; vazão; justiça.</t>
  </si>
  <si>
    <t>Integração GCN + MO-MARL superou abordagens padrão em eficiência.</t>
  </si>
  <si>
    <t>não informado</t>
  </si>
  <si>
    <t>Advanced machine learning for pillar stress prediction and design optimisation in hardrock platinum mining...</t>
  </si>
  <si>
    <t>Geotecnia / Mineração</t>
  </si>
  <si>
    <t>Predição de estresse em pilares de minas de platina.</t>
  </si>
  <si>
    <t>Melhorar a segurança e o design de pilares através de modelos preditivos.</t>
  </si>
  <si>
    <t>RF; XGBoost; GBM; AdaBoost; NGBoost.</t>
  </si>
  <si>
    <t>Geotécnicos (estatísticas de amostras de rocha).</t>
  </si>
  <si>
    <t>MSE; MAE; RMSE; MAPE; R2; Correlação.</t>
  </si>
  <si>
    <t>O modelo GBM obteve o melhor desempenho (R2 = 0,9958) para predição de estresse.</t>
  </si>
  <si>
    <t>Dependência da qualidade dos dados; alta demanda computacional.</t>
  </si>
  <si>
    <t>Artificial Intelligence and Building Information Modelling for Sustainable Construction Project Management...</t>
  </si>
  <si>
    <t>Gestão da Construção</t>
  </si>
  <si>
    <t>Adoção fragmentada de BIM e IA para gestão sustentável.</t>
  </si>
  <si>
    <t>Avaliar níveis de adoção e validar relações com indicadores de sustentabilidade.</t>
  </si>
  <si>
    <t>Machine Learning (contexto geral); Deep Learning.</t>
  </si>
  <si>
    <t>Questionários (perceptivos).</t>
  </si>
  <si>
    <t>Correlação de Pearson; ANOVA; Regressão.</t>
  </si>
  <si>
    <t>BIM apresenta correlação forte com sustentabilidade; IA agrega valor em previsões dinâmicas.</t>
  </si>
  <si>
    <t>Escopo geográfico restrito; subjetividade de dados auto-relatados.</t>
  </si>
  <si>
    <t>Artificial Neural Network Model for Predicting the Design of Cyclopean Concrete Dams...</t>
  </si>
  <si>
    <t>Engenharia Hidráulica</t>
  </si>
  <si>
    <t>Design preliminar de barragens de concreto ciclópico.</t>
  </si>
  <si>
    <t>Desenvolver modelo para prever parâmetros de design em microbacias alto-andinas.</t>
  </si>
  <si>
    <t>ANN.</t>
  </si>
  <si>
    <t>Geoespaciais (DEM); registros técnicos de projetos.</t>
  </si>
  <si>
    <t>Comparação predito vs. real.</t>
  </si>
  <si>
    <t>Modelo permitiu obter dimensões iniciais com maior precisão e consistência.</t>
  </si>
  <si>
    <t>Combining Machine Learning and MCR Model to Construct Urban Ventilation Corridors</t>
  </si>
  <si>
    <t>Planejamento Urbano / Ambiental</t>
  </si>
  <si>
    <t>Identificação de corredores de ventilação urbana.</t>
  </si>
  <si>
    <t>Analisar e otimizar fatores influenciadores para construção de corredores.</t>
  </si>
  <si>
    <t>XGBoost; LightGBM; Catboost; RF; GBM; DT; SVR.</t>
  </si>
  <si>
    <t>Geoespaciais (áreas verdes e ambiente construído).</t>
  </si>
  <si>
    <t>R2; RMSE.</t>
  </si>
  <si>
    <t>XGBoost apresentou melhor desempenho (R2 = 0,2616) na captura de efeitos não lineares.</t>
  </si>
  <si>
    <t>Comparative analysis of machine learning models for predicting the compressive strength of ultra-high-performance steel fiber reinforced concrete</t>
  </si>
  <si>
    <t>Materiais de Construção</t>
  </si>
  <si>
    <t>Resistência à compressão (fc) do UHPSFRC.</t>
  </si>
  <si>
    <t>Desenvolver modelos para antecipar resultados de fc baseados em composição do mix.</t>
  </si>
  <si>
    <t>ANN; GEP.</t>
  </si>
  <si>
    <t>Experimentais (proporções de mistura e cura).</t>
  </si>
  <si>
    <t>R2; MSE; RMSE; MAE; MAPE.</t>
  </si>
  <si>
    <t>ANN obteve precisão superior (R2=0,98); GEP gerou equações empíricas interpretáveis.</t>
  </si>
  <si>
    <t>Dataset pode carecer de diversidade; foco limitado apenas à resistência à compressão.</t>
  </si>
  <si>
    <t>The rate-dependent fiber-matrix interface in ultra high-performance fiber reinforced concrete: Interface property determination</t>
  </si>
  <si>
    <t>Estruturas / Materiais</t>
  </si>
  <si>
    <t>Comportamento da interface fibra-matriz sob carregamento dinâmico.</t>
  </si>
  <si>
    <t>Determinar propriedades de interface via análise inversa para modelos numéricos.</t>
  </si>
  <si>
    <t>Algoritmo de otimização (Nelder-Mead simplex).</t>
  </si>
  <si>
    <t>Experimentais (testes de arrancamento de fibra).</t>
  </si>
  <si>
    <t>Validação via dados experimentais.</t>
  </si>
  <si>
    <t>Simulação eficaz do comportamento sob variadas taxas; confirmou influência da distribuição irregular.</t>
  </si>
  <si>
    <t>Enhancing Large-Diameter Tunnel Construction Safety with Robust Optimization and Machine Learning Integrated into BIM</t>
  </si>
  <si>
    <t>Geotecnia / Segurança</t>
  </si>
  <si>
    <t>Riscos geológicos e estruturais em túneis de grande diâmetro.</t>
  </si>
  <si>
    <t>Melhorar a segurança integrando otimização robusta e ML ao sistema BIM.</t>
  </si>
  <si>
    <t>SVM; DT; ANN; RF.</t>
  </si>
  <si>
    <t>Geológicos; estruturais; ambientais.</t>
  </si>
  <si>
    <t>Acurácia; Precisão; Recall; F1-score.</t>
  </si>
  <si>
    <t>SVM obteve 98,76% de acurácia na classificação de grupos de risco.</t>
  </si>
  <si>
    <t>Possível overfitting; desafios na generalização para cenários distintos.</t>
  </si>
  <si>
    <t>Enhancing facility maintenance using knowledgebased BIM systems</t>
  </si>
  <si>
    <t>Gestão de Facilidades (FM)</t>
  </si>
  <si>
    <t>Integração ineficiente entre BIM e manutenção predial.</t>
  </si>
  <si>
    <t>Desenvolver sistema baseado em conhecimento para otimizar manutenção.</t>
  </si>
  <si>
    <t>Inteligência Artificial (sistemas baseados em conhecimento).</t>
  </si>
  <si>
    <t>Dados de manutenção (registros históricos).</t>
  </si>
  <si>
    <t>Demonstrou que a integração BIM-FM melhora a gestão de ativos.</t>
  </si>
  <si>
    <t>Necessidade de estudos de longo prazo e em setores de nicho.</t>
  </si>
  <si>
    <t>Enhancing landslide dam stability prediction... integrating missing data imputation...</t>
  </si>
  <si>
    <t>Geotecnia / Hidráulica</t>
  </si>
  <si>
    <t>Dados faltantes em inventários de barragens de deslizamento.</t>
  </si>
  <si>
    <t>Prever estabilidade integrando técnicas de imputação de dados e ML.</t>
  </si>
  <si>
    <t>GAIN; missForest; MICE; KNN (imputação); SVM; RF; XGBoost (predição).</t>
  </si>
  <si>
    <t>Inventário global (518 casos).</t>
  </si>
  <si>
    <t>RMSE; Acurácia; AUC.</t>
  </si>
  <si>
    <t>Combinação GAIN-SVM obteve AUC de 0,823, superando métodos tradicionais.</t>
  </si>
  <si>
    <t>Queda de performance com mais de 40% de dados ausentes.</t>
  </si>
  <si>
    <t>From Image to Map: Advancing GIS Decision Support Systems through Automated Building Detection and Vectorization Using the EURG DETECTIFY Interface</t>
  </si>
  <si>
    <t>Engenharia Cartográfica</t>
  </si>
  <si>
    <t>Automação na detecção de edifícios para GIS.</t>
  </si>
  <si>
    <t>Avançar sistemas de suporte à decisão GIS via extração automática de footprints.</t>
  </si>
  <si>
    <t>YOLOv8; SAM models.</t>
  </si>
  <si>
    <t>Imagens de satélite e UAV.</t>
  </si>
  <si>
    <t>Desenvolvimento da interface DETECTIFY para vetorização automatizada.</t>
  </si>
  <si>
    <t>Restrições radiométricas; limitação a imagens 8-bit.</t>
  </si>
  <si>
    <t>Fuzzy graph-based machine learning optimization for permeable pavement systems in smart cities of Thoothukudi</t>
  </si>
  <si>
    <t>Infraestrutura Urbana</t>
  </si>
  <si>
    <t>Otimização de pavimentos permeáveis em cidades inteligentes.</t>
  </si>
  <si>
    <t>Propor otimização via ML baseada em grafos fuzzy.</t>
  </si>
  <si>
    <t>Bipolar fuzzy graph-based ML optimization.</t>
  </si>
  <si>
    <t>Acurácia; F1-score; Sensibilidade.</t>
  </si>
  <si>
    <t>Eficiência de otimização de 85%; superioridade em relação a modelos tradicionais.</t>
  </si>
  <si>
    <t>Geometrical-quality-inspection-in-3D-concrete-printing-using-AIassisted-computer-vision</t>
  </si>
  <si>
    <t>Construção Digital</t>
  </si>
  <si>
    <t>Inspeção de qualidade geométrica na impressão 3D.</t>
  </si>
  <si>
    <t>Criar sistema de visão computacional assistido por IA para inspeção de filamentos.</t>
  </si>
  <si>
    <t>YOLOv5; Visão Computacional.</t>
  </si>
  <si>
    <t>Imagens de filamentos de concreto.</t>
  </si>
  <si>
    <t>Bounding box loss; mAP; Precision; Recall.</t>
  </si>
  <si>
    <t>Alta acurácia na detecção e segmentação sem overfitting significativo.</t>
  </si>
  <si>
    <t>GraphParcelNet: Predicting Parcel-Level Imperviousness from Geospatial Vector Data using Graph Neural Networks</t>
  </si>
  <si>
    <t>Hidrologia Urbana / GIS</t>
  </si>
  <si>
    <t>Estimativa de impermeabilidade em nível de lote.</t>
  </si>
  <si>
    <t>Prever taxas de impermeabilidade usando GNN a partir de dados vetoriais.</t>
  </si>
  <si>
    <t>GraphParcelNet (GNN).</t>
  </si>
  <si>
    <t>Vetoriais (coordenadas, forma, demografia).</t>
  </si>
  <si>
    <t>MAE; MSE; EMD; KS Statistic.</t>
  </si>
  <si>
    <t>GNN capturou melhor as relações espaciais, superando modelos tabulares.</t>
  </si>
  <si>
    <t>Highway Accident Hotspot Identification Based on the Fusion of Remote Sensing Imagery and Traffic Flow Information</t>
  </si>
  <si>
    <t>Engenharia de Transportes</t>
  </si>
  <si>
    <t>Identificação de hotspots de acidentes rodoviários.</t>
  </si>
  <si>
    <t>Identificar hotspots fundindo sensoriamento remoto e fluxos de tráfego.</t>
  </si>
  <si>
    <t>DFAGF-Net (GCA-Net + Seq-GRUAttNet).</t>
  </si>
  <si>
    <t>Imagens de satélite; séries temporais de tráfego.</t>
  </si>
  <si>
    <t>Acurácia; F1-score; Precisão.</t>
  </si>
  <si>
    <t>DFAGF-Net obteve 90,21% de acurácia; fusão multimodal superou análise uniamodal.</t>
  </si>
  <si>
    <t>Tamanho limitado do dataset.</t>
  </si>
  <si>
    <t>Innovative digital twin with artificial neural networks for real-time monitoring of structural response-A port structure case study</t>
  </si>
  <si>
    <t>Estruturas Portuárias</t>
  </si>
  <si>
    <t>Monitoramento estrutural em tempo real.</t>
  </si>
  <si>
    <t>Desenvolver gêmeo digital (DT) usando ANN para análise estrutural ágil.</t>
  </si>
  <si>
    <t>ANN; GNN; CNN.</t>
  </si>
  <si>
    <t>Dados de sensores e simulações FEM.</t>
  </si>
  <si>
    <t>ANN reduziu tempo de análise de mechanics inverse de 240 para 50 min.</t>
  </si>
  <si>
    <t>Integrating Circular Economy (CE) Principles into Construction Waste Management (CWM) Through Multiple Criteria Decision-Making (MCDM)</t>
  </si>
  <si>
    <t>Gestão de Resíduos</t>
  </si>
  <si>
    <t>Tomada de decisão na gestão de resíduos da construção.</t>
  </si>
  <si>
    <t>Integrar princípios de economia circular via estrutura MCDM.</t>
  </si>
  <si>
    <t>AHP; TOPSIS; Fuzzy Logic; MCDM.</t>
  </si>
  <si>
    <t>Dados de critérios de projeto (econômico, ambiental).</t>
  </si>
  <si>
    <t>Rankings; análise de sensibilidade.</t>
  </si>
  <si>
    <t>Rankings consistentes demonstraram confiabilidade para seleção de alternativas.</t>
  </si>
  <si>
    <t>Subjetividade em comparações par a par; dependência de funções fuzzy.</t>
  </si>
  <si>
    <t>Interpretable AI for Site-Adaptive Soil Liquefaction Assessment</t>
  </si>
  <si>
    <t>Geotecnia</t>
  </si>
  <si>
    <t>Limitações em métodos simplificados de liquefação do solo.</t>
  </si>
  <si>
    <t>Desenvolver framework de regras interpretáveis para avaliação de liquefação.</t>
  </si>
  <si>
    <t>Rough Set Machine Learning (RSML).</t>
  </si>
  <si>
    <t>Histórico de casos (SPT, parâmetros sísmicos).</t>
  </si>
  <si>
    <t>Acurácia; F1-score; Sensibilidade; Especificidade.</t>
  </si>
  <si>
    <t>Acurácia de 86,2%; gerou 25 regras IF-THEN transparentes para engenharia.</t>
  </si>
  <si>
    <t>Desbalanceamento do dataset; presença de regras de domínio parcial.</t>
  </si>
  <si>
    <t>Machine Learning Models for Predicting Seismic Response of a Novel Two-Stage Friction Pendulum Isolated Bridge Structure</t>
  </si>
  <si>
    <t>Engenharia de Pontes / Sísmica</t>
  </si>
  <si>
    <t>Complexidade de análises NLTHA para pontes isoladas.</t>
  </si>
  <si>
    <t>Implementar ML para prever resposta estrutural como alternativa ao NLTHA.</t>
  </si>
  <si>
    <t>XGB; GB; LGBM; RF; ANN; AdaBoost.</t>
  </si>
  <si>
    <t>Simulações NLTHA (500.000 pontos).</t>
  </si>
  <si>
    <t>MAE; RMSE; R2; Pearson-r.</t>
  </si>
  <si>
    <t>XGB obteve melhor performance (R2 &gt; 0,95) na predição de forças e deslocamentos.</t>
  </si>
  <si>
    <t>Making Smart Cities Human-Centric: A Framework for Dynamic Resident Demand Identification and Forecasting</t>
  </si>
  <si>
    <t>Planejamento Urbano</t>
  </si>
  <si>
    <t>Identificação e previsão de demandas de residentes.</t>
  </si>
  <si>
    <t>Identificar temas de demanda e prever tendências via NLP e séries temporais.</t>
  </si>
  <si>
    <t>BERTopic; VMD-SVM; LLMs (DeepSeek).</t>
  </si>
  <si>
    <t>Comentários de usuários online (texto); séries temporais.</t>
  </si>
  <si>
    <t>MAE; MAPE; RMSE; R2.</t>
  </si>
  <si>
    <t>Modelo DN-VMD-SVM demonstrou robustez na previsão de 10 temas de demanda.</t>
  </si>
  <si>
    <t>Dados de fonte única; limitação da generalização geográfica (Xi’an).</t>
  </si>
  <si>
    <t>Multi-Task Learning-Based Optimization for Cross-Regional Logistics Scheduling and Transportation Efficiency</t>
  </si>
  <si>
    <t>Logística de Transportes</t>
  </si>
  <si>
    <t>Eficiência no agendamento logístico inter-regional.</t>
  </si>
  <si>
    <t>Otimizar agendamento via aprendizado multitarefa (MTL).</t>
  </si>
  <si>
    <t>Multi-task Learning (MTL); MOGA; DQL.</t>
  </si>
  <si>
    <t>Transporte logístico real e simulado.</t>
  </si>
  <si>
    <t>OAA; PPC; TTPE.</t>
  </si>
  <si>
    <t>Modelo MTL reduziu custos de planejamento e erros de tempo de transporte.</t>
  </si>
  <si>
    <t>Gargalos computacionais com aumento de escala; dependência de padrões de treino.</t>
  </si>
  <si>
    <t>Optimized-seismic-risk-mitigation-in-pipeline-routing-using-a-metaheuristic-GIS-based-approach</t>
  </si>
  <si>
    <t>Infraestrutura (Dutos)</t>
  </si>
  <si>
    <t>Riscos sísmicos em rotas de tubulações.</t>
  </si>
  <si>
    <t>Otimizar rotas usando metaheurística e GIS para reduzir custos de danos.</t>
  </si>
  <si>
    <t>PSO (Heurística); Metaheurística.</t>
  </si>
  <si>
    <t>Geoespaciais (Estudo de caso Irã).</t>
  </si>
  <si>
    <t>Custos de reparo e danos sísmicos.</t>
  </si>
  <si>
    <t>Novas rotas otimizadas apresentaram menores custos de danos sísmicos.</t>
  </si>
  <si>
    <t>Dados restritos por segurança da infraestrutura.</t>
  </si>
  <si>
    <t>Prediction and optimization of structural performance of prefabricated bridges based on physical information neural network (PINN) and BIM</t>
  </si>
  <si>
    <t>Engenharia de Pontes</t>
  </si>
  <si>
    <t>Predição e otimização da performance de pontes prefabricadas.</t>
  </si>
  <si>
    <t>Integrar PINN e BIM para predição de performance e otimização estrutural.</t>
  </si>
  <si>
    <t>PINN.</t>
  </si>
  <si>
    <t>Modelos de pontes; curvas tensão-deformação.</t>
  </si>
  <si>
    <t>Erro de medição (%); Deslocamento; Estresse.</t>
  </si>
  <si>
    <t>PINN validado com erros &lt; 2%; otimização multiobjetivo reduziu consumo de material.</t>
  </si>
  <si>
    <t>Prediction of Mud Weight Window Based on Geological Sequence Matching and a Physics-Driven Machine Learning Model for Pre-Drilling</t>
  </si>
  <si>
    <t>Engenharia de Petróleo / Geotecnia</t>
  </si>
  <si>
    <t>Janela de peso de lama para pré-perfuração.</t>
  </si>
  <si>
    <t>Prever janela de peso de lama via Geological Sequence Matching e PD-ML.</t>
  </si>
  <si>
    <t>PD-LSTM.</t>
  </si>
  <si>
    <t>Logging de poços (sônico, resistividade, densidade).</t>
  </si>
  <si>
    <t>MAE; RMSE; MAPE; R2.</t>
  </si>
  <si>
    <t>Método GSM&amp;ML superou métodos originais em acurácia de predição de pressões.</t>
  </si>
  <si>
    <t>Research on Rock Image Recognition Based on Deep Learning</t>
  </si>
  <si>
    <t>Reconhecimento automatizado de tipos de rochas.</t>
  </si>
  <si>
    <t>Desenvolver sistema de reconhecimento de imagens de rochas via Deep Learning.</t>
  </si>
  <si>
    <t>AlexNet (simplificada).</t>
  </si>
  <si>
    <t>Imagens de rochas (315 originais).</t>
  </si>
  <si>
    <t>Acurácia.</t>
  </si>
  <si>
    <t>Alcançada acurácia de 92% após técnicas de aumento de dados.</t>
  </si>
  <si>
    <t>Dataset original pequeno; dificuldade com imagens deformadas.</t>
  </si>
  <si>
    <t>SHM of RC Bridge Girder for Damage Identification and Localization Using Machine Learning</t>
  </si>
  <si>
    <t>Estruturas / SHM</t>
  </si>
  <si>
    <t>Localização de danos em vigas de pontes de concreto armado.</t>
  </si>
  <si>
    <t>Usar ML para identificar e localizar fissuras em vigas RC.</t>
  </si>
  <si>
    <t>MLP.</t>
  </si>
  <si>
    <t>Datasets sintéticos (gerados via FEM).</t>
  </si>
  <si>
    <t>Acurácia; Precisão; Recall; Matriz de Confusão.</t>
  </si>
  <si>
    <t>Acurácia de 95% na validação; erro &lt; 5% na estimativa de parâmetros de fissura.</t>
  </si>
  <si>
    <t>Strain Decay Monitoring and Analytical Prediction of RC Columns Using Brillouin Optical Technology and Time-Dependent Deterioration Factor</t>
  </si>
  <si>
    <t>Estruturas / Monitoramento</t>
  </si>
  <si>
    <t>Decaimento de deformação em colunas de concreto armado.</t>
  </si>
  <si>
    <t>Predizer vida útil de colunas RC usando tecnologia Brillouin e deterioração.</t>
  </si>
  <si>
    <t>Análise Numérica (Abaqus).</t>
  </si>
  <si>
    <t>Experimentais (sensores ópticos); modelagem Abaqus.</t>
  </si>
  <si>
    <t>Média (Experimental/Predito).</t>
  </si>
  <si>
    <t>Equações propostas melhoraram predições de vida útil em até 5%.</t>
  </si>
  <si>
    <t>Two-Step Forward Modeling for GPR Data of Metal Pipes Based on Image Translation and Style Transfer</t>
  </si>
  <si>
    <t>Infraestrutura / Sensoriamento</t>
  </si>
  <si>
    <t>Simulação de dados GPR para tubulações metálicas.</t>
  </si>
  <si>
    <t>Gerar dados GPR realistas via tradução de imagem e transferência de estilo.</t>
  </si>
  <si>
    <t>PSA-ITnet; PSA-STnet; UnetGAN; Pix2Pix.</t>
  </si>
  <si>
    <t>Imagens B-scan de GPR; modelos de layout.</t>
  </si>
  <si>
    <t>MSE; PSNR; SSIM.</t>
  </si>
  <si>
    <t>PSA-ITnet demonstrou melhor performance em fidelidade de sinal e similaridade.</t>
  </si>
  <si>
    <t>Não integração de fatores ambientais (umidade/temperatura) nos modelos.</t>
  </si>
  <si>
    <t>Resumo da Tabela Analítica</t>
  </si>
  <si>
    <t>Indicador</t>
  </si>
  <si>
    <t>Valor</t>
  </si>
  <si>
    <t>Observação</t>
  </si>
  <si>
    <t>Total de estudos</t>
  </si>
  <si>
    <t>Número de artigos analisados</t>
  </si>
  <si>
    <t>Com limitações explícitas</t>
  </si>
  <si>
    <t>Base para QP4</t>
  </si>
  <si>
    <t>Sem limitações informadas</t>
  </si>
  <si>
    <t>Limitações não declaradas na tabela</t>
  </si>
  <si>
    <t>Estudos com métricas não informadas</t>
  </si>
  <si>
    <t>Lacuna de avaliação reportada</t>
  </si>
  <si>
    <t>Quantidade</t>
  </si>
  <si>
    <t>Critério de Associação das Questões de Pesquisa</t>
  </si>
  <si>
    <t>QP</t>
  </si>
  <si>
    <t>Sentido usado na análise</t>
  </si>
  <si>
    <t>Base na tabela analítica</t>
  </si>
  <si>
    <t>QP1</t>
  </si>
  <si>
    <t>Coluna: Técnica de IA utilizada</t>
  </si>
  <si>
    <t>QP2</t>
  </si>
  <si>
    <t>Área/problema de aplicação na engenharia civil</t>
  </si>
  <si>
    <t>Colunas: Área da engenharia civil e Problema investigado</t>
  </si>
  <si>
    <t>QP3</t>
  </si>
  <si>
    <t>Resultados, desempenho, contribuição ou métrica de avaliação</t>
  </si>
  <si>
    <t>Colunas: Métricas de avaliação e Principais resultados</t>
  </si>
  <si>
    <t>QP4</t>
  </si>
  <si>
    <t>Limitações metodológicas, de dados, escopo ou generalização</t>
  </si>
  <si>
    <t>Coluna: Limitações apontadas</t>
  </si>
  <si>
    <t>QP5</t>
  </si>
  <si>
    <t>Lacunas ou oportunidades futuras derivadas das limitações</t>
  </si>
  <si>
    <t>Derivação analítica das limitações e oportunidades</t>
  </si>
  <si>
    <t>INTELIGÊNCIA ARTIFICIAL NA ENGENHARIA CIVIL</t>
  </si>
  <si>
    <t>Painel visual dos 28 estudos: técnicas utilizadas, áreas de aplicação e visão geral</t>
  </si>
  <si>
    <t>VISÃO GERAL DOS 28 ESTUDOS</t>
  </si>
  <si>
    <t>28
ESTUDOS ANALISADOS</t>
  </si>
  <si>
    <t>38+
TÉCNICAS DE IA</t>
  </si>
  <si>
    <t>15
ÁREAS</t>
  </si>
  <si>
    <t>DIVERSAS
MÉTRICAS</t>
  </si>
  <si>
    <t>15
LIMITAÇÕES (QP4)</t>
  </si>
  <si>
    <t>3
OPORTUNIDADES (QP5)</t>
  </si>
  <si>
    <t>PRINCIPAIS TÉCNICAS DE IA UTILIZADAS</t>
  </si>
  <si>
    <t>DISTRIBUIÇÃO DAS ÁREAS DE APLICAÇÃO</t>
  </si>
  <si>
    <t>LEITURA DAS QUESTÕES DE PESQUISA (QPs)</t>
  </si>
  <si>
    <t>Todos os 28 estudos respondem às QP1, QP2 e QP3. A QP4 aparece em 15 estudos com limitações explícitas, e a QP5 aparece em 3 estudos com oportunidades futuras.</t>
  </si>
  <si>
    <t>Área/problema de aplicação na Engenharia Civil</t>
  </si>
  <si>
    <t>Técnica de IA</t>
  </si>
  <si>
    <t>Frequência</t>
  </si>
  <si>
    <t>Área de aplicação</t>
  </si>
  <si>
    <t>Estudos</t>
  </si>
  <si>
    <t>Redes Neurais Artificiais (ANN)</t>
  </si>
  <si>
    <t>Geotecnia / Mineração / Hidráulica</t>
  </si>
  <si>
    <t>Estudos analisados</t>
  </si>
  <si>
    <t>Random Forest (RF)</t>
  </si>
  <si>
    <t>Técnicas de IA identificadas</t>
  </si>
  <si>
    <t>38+</t>
  </si>
  <si>
    <t>Support Vector Machine (SVM)</t>
  </si>
  <si>
    <t>Áreas da Engenharia Civil</t>
  </si>
  <si>
    <t>XGBoost / LightGBM / CatBoost</t>
  </si>
  <si>
    <t>Gestão da Construção / BIM / Manutenção</t>
  </si>
  <si>
    <t>Métricas de desempenho</t>
  </si>
  <si>
    <t>Diversas</t>
  </si>
  <si>
    <t>Graph Neural Networks (GNN)</t>
  </si>
  <si>
    <t>Planejamento Urbano / Ambiental / Smart Cities</t>
  </si>
  <si>
    <t>Estudos com limitações (QP4)</t>
  </si>
  <si>
    <t>YOLO / Visão Computacional</t>
  </si>
  <si>
    <t>Engenharia Cartográfica / Sensoriamento / GIS</t>
  </si>
  <si>
    <t>Estudos com oportunidades (QP5)</t>
  </si>
  <si>
    <t>Otimização / Metaheurísticas</t>
  </si>
  <si>
    <t>Outras áreas</t>
  </si>
  <si>
    <t>Modelos baseados em conhecimento</t>
  </si>
  <si>
    <t>Deep Learning (geral)</t>
  </si>
  <si>
    <t>Outros (MARL, PINN, LSTM, GAN, Fuzzy etc.)</t>
  </si>
  <si>
    <t>Fonte: o autor extraido dos artigos para: IA na Engenharia Civil.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</si>
</sst>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0B2F63"/>
      <name val="Carlito"/>
    </font>
    <font>
      <b/>
      <sz val="11"/>
      <color rgb="FF1E3A8A"/>
      <name val="Carlito"/>
    </font>
    <font>
      <b/>
      <sz val="11"/>
      <color rgb="FF0B3A75"/>
      <name val="Carlito"/>
    </font>
    <font>
      <b/>
      <sz val="11"/>
      <color rgb="FF7C2D12"/>
      <name val="Carlito"/>
    </font>
    <font>
      <i/>
      <sz val="11"/>
      <color rgb="FF37415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174A7C"/>
      </patternFill>
    </fill>
    <fill>
      <patternFill patternType="solid">
        <fgColor rgb="FF0B3A75"/>
      </patternFill>
    </fill>
    <fill>
      <patternFill patternType="solid">
        <fgColor rgb="FFF8FAFC"/>
      </patternFill>
    </fill>
    <fill>
      <patternFill patternType="solid">
        <fgColor rgb="FFEAF2FB"/>
      </patternFill>
    </fill>
    <fill>
      <patternFill patternType="solid">
        <fgColor rgb="FFEEF6FF"/>
      </patternFill>
    </fill>
    <fill>
      <patternFill patternType="solid">
        <fgColor rgb="FFDDEBFF"/>
      </patternFill>
    </fill>
    <fill>
      <patternFill patternType="solid">
        <fgColor rgb="FFF8FBFF"/>
      </patternFill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9" borderId="0" xfId="0" applyFill="1" applyAlignment="1">
      <alignment wrapText="1"/>
    </xf>
    <xf numFmtId="0" fontId="7" fillId="8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7" fillId="7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8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EF3C7"/>
        </patternFill>
      </fill>
    </dxf>
    <dxf>
      <font>
        <color rgb="FF6B7280"/>
      </font>
      <fill>
        <patternFill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Distribuição por área de aplicação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Resumo!$A$11:$A$37</c:f>
              <c:strCache>
                <c:ptCount val="27"/>
                <c:pt idx="0">
                  <c:v>Geotecnia / Mineração</c:v>
                </c:pt>
                <c:pt idx="1">
                  <c:v>Construção Digital</c:v>
                </c:pt>
                <c:pt idx="2">
                  <c:v>Engenharia Cartográfica</c:v>
                </c:pt>
                <c:pt idx="3">
                  <c:v>Engenharia Hidráulica</c:v>
                </c:pt>
                <c:pt idx="4">
                  <c:v>Engenharia de Petróleo / Geotecnia</c:v>
                </c:pt>
                <c:pt idx="5">
                  <c:v>Engenharia de Pontes</c:v>
                </c:pt>
                <c:pt idx="6">
                  <c:v>Engenharia de Pontes / Sísmica</c:v>
                </c:pt>
                <c:pt idx="7">
                  <c:v>Engenharia de Transportes</c:v>
                </c:pt>
                <c:pt idx="8">
                  <c:v>Estruturas / Materiais</c:v>
                </c:pt>
                <c:pt idx="9">
                  <c:v>Estruturas / Monitoramento</c:v>
                </c:pt>
                <c:pt idx="10">
                  <c:v>Estruturas / SHM</c:v>
                </c:pt>
                <c:pt idx="11">
                  <c:v>Estruturas Portuárias</c:v>
                </c:pt>
                <c:pt idx="12">
                  <c:v>Geotecnia</c:v>
                </c:pt>
                <c:pt idx="13">
                  <c:v>Geotecnia / Hidráulica</c:v>
                </c:pt>
                <c:pt idx="14">
                  <c:v>Geotecnia / Segurança</c:v>
                </c:pt>
                <c:pt idx="15">
                  <c:v>Gestão da Construção</c:v>
                </c:pt>
                <c:pt idx="16">
                  <c:v>Gestão de Facilidades (FM)</c:v>
                </c:pt>
                <c:pt idx="17">
                  <c:v>Gestão de Resíduos</c:v>
                </c:pt>
                <c:pt idx="18">
                  <c:v>Hidrologia Urbana / GIS</c:v>
                </c:pt>
                <c:pt idx="19">
                  <c:v>Infraestrutura (Dutos)</c:v>
                </c:pt>
                <c:pt idx="20">
                  <c:v>Infraestrutura / Sensoriamento</c:v>
                </c:pt>
                <c:pt idx="21">
                  <c:v>Infraestrutura Urbana</c:v>
                </c:pt>
                <c:pt idx="22">
                  <c:v>Logística de Transportes</c:v>
                </c:pt>
                <c:pt idx="23">
                  <c:v>Materiais de Construção</c:v>
                </c:pt>
                <c:pt idx="24">
                  <c:v>Planejamento Urbano</c:v>
                </c:pt>
                <c:pt idx="25">
                  <c:v>Planejamento Urbano / Ambiental</c:v>
                </c:pt>
                <c:pt idx="26">
                  <c:v>Transportes / Infraestrutura Rodoviária</c:v>
                </c:pt>
              </c:strCache>
            </c:strRef>
          </c:cat>
          <c:val>
            <c:numRef>
              <c:f>Resumo!$B$11:$B$37</c:f>
              <c:numCache>
                <c:formatCode>General</c:formatCode>
                <c:ptCount val="2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0-4D8A-866D-03DC27D6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Frequência de ocorrência nos 28 estudos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Frequência</c:v>
          </c:tx>
          <c:invertIfNegative val="1"/>
          <c:cat>
            <c:strLit>
              <c:ptCount val="10"/>
              <c:pt idx="0">
                <c:v>Redes Neurais Artificiais (ANN)</c:v>
              </c:pt>
              <c:pt idx="1">
                <c:v>Random Forest (RF)</c:v>
              </c:pt>
              <c:pt idx="2">
                <c:v>Support Vector Machine (SVM)</c:v>
              </c:pt>
              <c:pt idx="3">
                <c:v>XGBoost / LightGBM / CatBoost</c:v>
              </c:pt>
              <c:pt idx="4">
                <c:v>Graph Neural Networks (GNN)</c:v>
              </c:pt>
              <c:pt idx="5">
                <c:v>YOLO / Visão Computacional</c:v>
              </c:pt>
              <c:pt idx="6">
                <c:v>Otimização / Metaheurísticas</c:v>
              </c:pt>
              <c:pt idx="7">
                <c:v>Modelos baseados em conhecimento</c:v>
              </c:pt>
              <c:pt idx="8">
                <c:v>Deep Learning (geral)</c:v>
              </c:pt>
              <c:pt idx="9">
                <c:v>Outros (MARL, PINN, LSTM, GAN, Fuzzy etc.)</c:v>
              </c:pt>
            </c:strLit>
          </c:cat>
          <c:val>
            <c:numLit>
              <c:formatCode>General</c:formatCode>
              <c:ptCount val="10"/>
              <c:pt idx="0">
                <c:v>10</c:v>
              </c:pt>
              <c:pt idx="1">
                <c:v>6</c:v>
              </c:pt>
              <c:pt idx="2">
                <c:v>4</c:v>
              </c:pt>
              <c:pt idx="3">
                <c:v>4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2</c:v>
              </c:pt>
              <c:pt idx="8">
                <c:v>2</c:v>
              </c:pt>
              <c:pt idx="9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2F19-4AD5-B48C-8F44CBD1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Agrupamento dos estudos por área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Estudos</c:v>
          </c:tx>
          <c:cat>
            <c:strLit>
              <c:ptCount val="7"/>
              <c:pt idx="0">
                <c:v>Geotecnia / Mineração / Hidráulica</c:v>
              </c:pt>
              <c:pt idx="1">
                <c:v>Estruturas / Materiais</c:v>
              </c:pt>
              <c:pt idx="2">
                <c:v>Transportes / Infraestrutura Rodoviária</c:v>
              </c:pt>
              <c:pt idx="3">
                <c:v>Gestão da Construção / BIM / Manutenção</c:v>
              </c:pt>
              <c:pt idx="4">
                <c:v>Planejamento Urbano / Ambiental / Smart Cities</c:v>
              </c:pt>
              <c:pt idx="5">
                <c:v>Engenharia Cartográfica / Sensoriamento / GIS</c:v>
              </c:pt>
              <c:pt idx="6">
                <c:v>Outras áreas</c:v>
              </c:pt>
            </c:strLit>
          </c:cat>
          <c:val>
            <c:numLit>
              <c:formatCode>General</c:formatCode>
              <c:ptCount val="7"/>
              <c:pt idx="0">
                <c:v>5</c:v>
              </c:pt>
              <c:pt idx="1">
                <c:v>5</c:v>
              </c:pt>
              <c:pt idx="2">
                <c:v>4</c:v>
              </c:pt>
              <c:pt idx="3">
                <c:v>4</c:v>
              </c:pt>
              <c:pt idx="4">
                <c:v>4</c:v>
              </c:pt>
              <c:pt idx="5">
                <c:v>2</c:v>
              </c:pt>
              <c:pt idx="6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FE2E-4F57-88D3-B9FB283B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33400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334000" cy="3238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Analiticos" displayName="TabelaDadosAnaliticos" ref="A3:J31">
  <tableColumns count="10">
    <tableColumn id="1" xr3:uid="{00000000-0010-0000-0000-000001000000}" name="Estudo"/>
    <tableColumn id="2" xr3:uid="{00000000-0010-0000-0000-000002000000}" name="Título"/>
    <tableColumn id="3" xr3:uid="{00000000-0010-0000-0000-000003000000}" name="Área da engenharia civil"/>
    <tableColumn id="4" xr3:uid="{00000000-0010-0000-0000-000004000000}" name="Problema investigado"/>
    <tableColumn id="5" xr3:uid="{00000000-0010-0000-0000-000005000000}" name="Objetivo do estudo"/>
    <tableColumn id="6" xr3:uid="{00000000-0010-0000-0000-000006000000}" name="Técnica de IA utilizada"/>
    <tableColumn id="7" xr3:uid="{00000000-0010-0000-0000-000007000000}" name="Tipo de dado"/>
    <tableColumn id="8" xr3:uid="{00000000-0010-0000-0000-000008000000}" name="Métricas de avaliação"/>
    <tableColumn id="9" xr3:uid="{00000000-0010-0000-0000-000009000000}" name="Principais resultados"/>
    <tableColumn id="10" xr3:uid="{00000000-0010-0000-0000-00000A000000}" name="Limitações apont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Areas" displayName="ResumoAreas" ref="A10:B37">
  <tableColumns count="2">
    <tableColumn id="1" xr3:uid="{00000000-0010-0000-0100-000001000000}" name="Área da engenharia civil"/>
    <tableColumn id="2" xr3:uid="{00000000-0010-0000-0100-000002000000}" name="Quant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eriosQP" displayName="CriteriosQP" ref="A3:C8">
  <tableColumns count="3">
    <tableColumn id="1" xr3:uid="{00000000-0010-0000-0200-000001000000}" name="QP"/>
    <tableColumn id="2" xr3:uid="{00000000-0010-0000-0200-000002000000}" name="Sentido usado na análise"/>
    <tableColumn id="3" xr3:uid="{00000000-0010-0000-0200-000003000000}" name="Base na tabela anal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E1" workbookViewId="0">
      <selection activeCell="I4" sqref="I4"/>
    </sheetView>
  </sheetViews>
  <sheetFormatPr defaultRowHeight="14.25"/>
  <cols>
    <col min="1" max="1" width="10" customWidth="1"/>
    <col min="2" max="2" width="42" customWidth="1"/>
    <col min="3" max="3" width="26" customWidth="1"/>
    <col min="4" max="4" width="32" customWidth="1"/>
    <col min="5" max="5" width="36" customWidth="1"/>
    <col min="6" max="6" width="30" customWidth="1"/>
    <col min="7" max="7" width="28" customWidth="1"/>
    <col min="8" max="8" width="24" customWidth="1"/>
    <col min="9" max="9" width="44" customWidth="1"/>
    <col min="10" max="10" width="36" customWidth="1"/>
  </cols>
  <sheetData>
    <row r="1" spans="1:10" ht="27.9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33.950000000000003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57.95" customHeight="1">
      <c r="A4" s="4">
        <v>1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</row>
    <row r="5" spans="1:10" ht="57.95" customHeight="1">
      <c r="A5" s="4">
        <v>2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</row>
    <row r="6" spans="1:10" ht="57.95" customHeight="1">
      <c r="A6" s="4">
        <v>3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</row>
    <row r="7" spans="1:10" ht="57.95" customHeight="1">
      <c r="A7" s="4">
        <v>4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  <c r="J7" s="4" t="s">
        <v>19</v>
      </c>
    </row>
    <row r="8" spans="1:10" ht="57.95" customHeight="1">
      <c r="A8" s="4">
        <v>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19</v>
      </c>
    </row>
    <row r="9" spans="1:10" ht="57.95" customHeight="1">
      <c r="A9" s="4">
        <v>6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</row>
    <row r="10" spans="1:10" ht="57.95" customHeight="1">
      <c r="A10" s="4">
        <v>7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70</v>
      </c>
      <c r="J10" s="4" t="s">
        <v>19</v>
      </c>
    </row>
    <row r="11" spans="1:10" ht="57.95" customHeight="1">
      <c r="A11" s="4">
        <v>8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4" t="s">
        <v>78</v>
      </c>
      <c r="J11" s="4" t="s">
        <v>79</v>
      </c>
    </row>
    <row r="12" spans="1:10" ht="57.95" customHeight="1">
      <c r="A12" s="4">
        <v>9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85</v>
      </c>
      <c r="H12" s="4" t="s">
        <v>19</v>
      </c>
      <c r="I12" s="4" t="s">
        <v>86</v>
      </c>
      <c r="J12" s="4" t="s">
        <v>87</v>
      </c>
    </row>
    <row r="13" spans="1:10" ht="57.95" customHeight="1">
      <c r="A13" s="4">
        <v>10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</row>
    <row r="14" spans="1:10" ht="57.95" customHeight="1">
      <c r="A14" s="4">
        <v>11</v>
      </c>
      <c r="B14" s="4" t="s">
        <v>97</v>
      </c>
      <c r="C14" s="4" t="s">
        <v>98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19</v>
      </c>
      <c r="I14" s="4" t="s">
        <v>103</v>
      </c>
      <c r="J14" s="4" t="s">
        <v>104</v>
      </c>
    </row>
    <row r="15" spans="1:10" ht="57.95" customHeight="1">
      <c r="A15" s="4">
        <v>12</v>
      </c>
      <c r="B15" s="4" t="s">
        <v>105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19</v>
      </c>
      <c r="H15" s="4" t="s">
        <v>110</v>
      </c>
      <c r="I15" s="4" t="s">
        <v>111</v>
      </c>
      <c r="J15" s="4" t="s">
        <v>19</v>
      </c>
    </row>
    <row r="16" spans="1:10" ht="57.95" customHeight="1">
      <c r="A16" s="4">
        <v>13</v>
      </c>
      <c r="B16" s="4" t="s">
        <v>112</v>
      </c>
      <c r="C16" s="4" t="s">
        <v>113</v>
      </c>
      <c r="D16" s="4" t="s">
        <v>114</v>
      </c>
      <c r="E16" s="4" t="s">
        <v>115</v>
      </c>
      <c r="F16" s="4" t="s">
        <v>116</v>
      </c>
      <c r="G16" s="4" t="s">
        <v>117</v>
      </c>
      <c r="H16" s="4" t="s">
        <v>118</v>
      </c>
      <c r="I16" s="4" t="s">
        <v>119</v>
      </c>
      <c r="J16" s="4" t="s">
        <v>19</v>
      </c>
    </row>
    <row r="17" spans="1:10" ht="57.95" customHeight="1">
      <c r="A17" s="4">
        <v>14</v>
      </c>
      <c r="B17" s="4" t="s">
        <v>120</v>
      </c>
      <c r="C17" s="4" t="s">
        <v>121</v>
      </c>
      <c r="D17" s="4" t="s">
        <v>122</v>
      </c>
      <c r="E17" s="4" t="s">
        <v>123</v>
      </c>
      <c r="F17" s="4" t="s">
        <v>124</v>
      </c>
      <c r="G17" s="4" t="s">
        <v>125</v>
      </c>
      <c r="H17" s="4" t="s">
        <v>126</v>
      </c>
      <c r="I17" s="4" t="s">
        <v>127</v>
      </c>
      <c r="J17" s="4" t="s">
        <v>19</v>
      </c>
    </row>
    <row r="18" spans="1:10" ht="57.95" customHeight="1">
      <c r="A18" s="4">
        <v>15</v>
      </c>
      <c r="B18" s="4" t="s">
        <v>128</v>
      </c>
      <c r="C18" s="4" t="s">
        <v>129</v>
      </c>
      <c r="D18" s="4" t="s">
        <v>130</v>
      </c>
      <c r="E18" s="4" t="s">
        <v>131</v>
      </c>
      <c r="F18" s="4" t="s">
        <v>132</v>
      </c>
      <c r="G18" s="4" t="s">
        <v>133</v>
      </c>
      <c r="H18" s="4" t="s">
        <v>134</v>
      </c>
      <c r="I18" s="4" t="s">
        <v>135</v>
      </c>
      <c r="J18" s="4" t="s">
        <v>136</v>
      </c>
    </row>
    <row r="19" spans="1:10" ht="57.95" customHeight="1">
      <c r="A19" s="4">
        <v>16</v>
      </c>
      <c r="B19" s="4" t="s">
        <v>137</v>
      </c>
      <c r="C19" s="4" t="s">
        <v>138</v>
      </c>
      <c r="D19" s="4" t="s">
        <v>139</v>
      </c>
      <c r="E19" s="4" t="s">
        <v>140</v>
      </c>
      <c r="F19" s="4" t="s">
        <v>141</v>
      </c>
      <c r="G19" s="4" t="s">
        <v>142</v>
      </c>
      <c r="H19" s="4" t="s">
        <v>19</v>
      </c>
      <c r="I19" s="4" t="s">
        <v>143</v>
      </c>
      <c r="J19" s="4" t="s">
        <v>19</v>
      </c>
    </row>
    <row r="20" spans="1:10" ht="57.95" customHeight="1">
      <c r="A20" s="4">
        <v>17</v>
      </c>
      <c r="B20" s="4" t="s">
        <v>144</v>
      </c>
      <c r="C20" s="4" t="s">
        <v>145</v>
      </c>
      <c r="D20" s="4" t="s">
        <v>146</v>
      </c>
      <c r="E20" s="4" t="s">
        <v>147</v>
      </c>
      <c r="F20" s="4" t="s">
        <v>148</v>
      </c>
      <c r="G20" s="4" t="s">
        <v>149</v>
      </c>
      <c r="H20" s="4" t="s">
        <v>150</v>
      </c>
      <c r="I20" s="4" t="s">
        <v>151</v>
      </c>
      <c r="J20" s="4" t="s">
        <v>152</v>
      </c>
    </row>
    <row r="21" spans="1:10" ht="57.95" customHeight="1">
      <c r="A21" s="4">
        <v>18</v>
      </c>
      <c r="B21" s="4" t="s">
        <v>153</v>
      </c>
      <c r="C21" s="4" t="s">
        <v>154</v>
      </c>
      <c r="D21" s="4" t="s">
        <v>155</v>
      </c>
      <c r="E21" s="4" t="s">
        <v>156</v>
      </c>
      <c r="F21" s="4" t="s">
        <v>157</v>
      </c>
      <c r="G21" s="4" t="s">
        <v>158</v>
      </c>
      <c r="H21" s="4" t="s">
        <v>159</v>
      </c>
      <c r="I21" s="4" t="s">
        <v>160</v>
      </c>
      <c r="J21" s="4" t="s">
        <v>161</v>
      </c>
    </row>
    <row r="22" spans="1:10" ht="57.95" customHeight="1">
      <c r="A22" s="4">
        <v>19</v>
      </c>
      <c r="B22" s="4" t="s">
        <v>162</v>
      </c>
      <c r="C22" s="4" t="s">
        <v>163</v>
      </c>
      <c r="D22" s="4" t="s">
        <v>164</v>
      </c>
      <c r="E22" s="4" t="s">
        <v>165</v>
      </c>
      <c r="F22" s="4" t="s">
        <v>166</v>
      </c>
      <c r="G22" s="4" t="s">
        <v>167</v>
      </c>
      <c r="H22" s="4" t="s">
        <v>168</v>
      </c>
      <c r="I22" s="4" t="s">
        <v>169</v>
      </c>
      <c r="J22" s="4" t="s">
        <v>19</v>
      </c>
    </row>
    <row r="23" spans="1:10" ht="57.95" customHeight="1">
      <c r="A23" s="4">
        <v>20</v>
      </c>
      <c r="B23" s="4" t="s">
        <v>170</v>
      </c>
      <c r="C23" s="4" t="s">
        <v>171</v>
      </c>
      <c r="D23" s="4" t="s">
        <v>172</v>
      </c>
      <c r="E23" s="4" t="s">
        <v>173</v>
      </c>
      <c r="F23" s="4" t="s">
        <v>174</v>
      </c>
      <c r="G23" s="4" t="s">
        <v>175</v>
      </c>
      <c r="H23" s="4" t="s">
        <v>176</v>
      </c>
      <c r="I23" s="4" t="s">
        <v>177</v>
      </c>
      <c r="J23" s="4" t="s">
        <v>178</v>
      </c>
    </row>
    <row r="24" spans="1:10" ht="57.95" customHeight="1">
      <c r="A24" s="4">
        <v>21</v>
      </c>
      <c r="B24" s="4" t="s">
        <v>179</v>
      </c>
      <c r="C24" s="4" t="s">
        <v>180</v>
      </c>
      <c r="D24" s="4" t="s">
        <v>181</v>
      </c>
      <c r="E24" s="4" t="s">
        <v>182</v>
      </c>
      <c r="F24" s="4" t="s">
        <v>183</v>
      </c>
      <c r="G24" s="4" t="s">
        <v>184</v>
      </c>
      <c r="H24" s="4" t="s">
        <v>185</v>
      </c>
      <c r="I24" s="4" t="s">
        <v>186</v>
      </c>
      <c r="J24" s="4" t="s">
        <v>187</v>
      </c>
    </row>
    <row r="25" spans="1:10" ht="57.95" customHeight="1">
      <c r="A25" s="4">
        <v>22</v>
      </c>
      <c r="B25" s="4" t="s">
        <v>188</v>
      </c>
      <c r="C25" s="4" t="s">
        <v>189</v>
      </c>
      <c r="D25" s="4" t="s">
        <v>190</v>
      </c>
      <c r="E25" s="4" t="s">
        <v>191</v>
      </c>
      <c r="F25" s="4" t="s">
        <v>192</v>
      </c>
      <c r="G25" s="4" t="s">
        <v>193</v>
      </c>
      <c r="H25" s="4" t="s">
        <v>194</v>
      </c>
      <c r="I25" s="4" t="s">
        <v>195</v>
      </c>
      <c r="J25" s="4" t="s">
        <v>196</v>
      </c>
    </row>
    <row r="26" spans="1:10" ht="57.95" customHeight="1">
      <c r="A26" s="4">
        <v>23</v>
      </c>
      <c r="B26" s="4" t="s">
        <v>197</v>
      </c>
      <c r="C26" s="4" t="s">
        <v>198</v>
      </c>
      <c r="D26" s="4" t="s">
        <v>199</v>
      </c>
      <c r="E26" s="4" t="s">
        <v>200</v>
      </c>
      <c r="F26" s="4" t="s">
        <v>201</v>
      </c>
      <c r="G26" s="4" t="s">
        <v>202</v>
      </c>
      <c r="H26" s="4" t="s">
        <v>203</v>
      </c>
      <c r="I26" s="4" t="s">
        <v>204</v>
      </c>
      <c r="J26" s="4" t="s">
        <v>19</v>
      </c>
    </row>
    <row r="27" spans="1:10" ht="57.95" customHeight="1">
      <c r="A27" s="4">
        <v>24</v>
      </c>
      <c r="B27" s="4" t="s">
        <v>205</v>
      </c>
      <c r="C27" s="4" t="s">
        <v>206</v>
      </c>
      <c r="D27" s="4" t="s">
        <v>207</v>
      </c>
      <c r="E27" s="4" t="s">
        <v>208</v>
      </c>
      <c r="F27" s="4" t="s">
        <v>209</v>
      </c>
      <c r="G27" s="4" t="s">
        <v>210</v>
      </c>
      <c r="H27" s="4" t="s">
        <v>211</v>
      </c>
      <c r="I27" s="4" t="s">
        <v>212</v>
      </c>
      <c r="J27" s="4" t="s">
        <v>19</v>
      </c>
    </row>
    <row r="28" spans="1:10" ht="57.95" customHeight="1">
      <c r="A28" s="4">
        <v>25</v>
      </c>
      <c r="B28" s="4" t="s">
        <v>213</v>
      </c>
      <c r="C28" s="4" t="s">
        <v>21</v>
      </c>
      <c r="D28" s="4" t="s">
        <v>214</v>
      </c>
      <c r="E28" s="4" t="s">
        <v>215</v>
      </c>
      <c r="F28" s="4" t="s">
        <v>216</v>
      </c>
      <c r="G28" s="4" t="s">
        <v>217</v>
      </c>
      <c r="H28" s="4" t="s">
        <v>218</v>
      </c>
      <c r="I28" s="4" t="s">
        <v>219</v>
      </c>
      <c r="J28" s="4" t="s">
        <v>220</v>
      </c>
    </row>
    <row r="29" spans="1:10" ht="57.95" customHeight="1">
      <c r="A29" s="4">
        <v>26</v>
      </c>
      <c r="B29" s="4" t="s">
        <v>221</v>
      </c>
      <c r="C29" s="4" t="s">
        <v>222</v>
      </c>
      <c r="D29" s="4" t="s">
        <v>223</v>
      </c>
      <c r="E29" s="4" t="s">
        <v>224</v>
      </c>
      <c r="F29" s="4" t="s">
        <v>225</v>
      </c>
      <c r="G29" s="4" t="s">
        <v>226</v>
      </c>
      <c r="H29" s="4" t="s">
        <v>227</v>
      </c>
      <c r="I29" s="4" t="s">
        <v>228</v>
      </c>
      <c r="J29" s="4" t="s">
        <v>19</v>
      </c>
    </row>
    <row r="30" spans="1:10" ht="57.95" customHeight="1">
      <c r="A30" s="4">
        <v>27</v>
      </c>
      <c r="B30" s="4" t="s">
        <v>229</v>
      </c>
      <c r="C30" s="4" t="s">
        <v>230</v>
      </c>
      <c r="D30" s="4" t="s">
        <v>231</v>
      </c>
      <c r="E30" s="4" t="s">
        <v>232</v>
      </c>
      <c r="F30" s="4" t="s">
        <v>233</v>
      </c>
      <c r="G30" s="4" t="s">
        <v>234</v>
      </c>
      <c r="H30" s="4" t="s">
        <v>235</v>
      </c>
      <c r="I30" s="4" t="s">
        <v>236</v>
      </c>
      <c r="J30" s="4" t="s">
        <v>19</v>
      </c>
    </row>
    <row r="31" spans="1:10" ht="57.95" customHeight="1">
      <c r="A31" s="4">
        <v>28</v>
      </c>
      <c r="B31" s="4" t="s">
        <v>237</v>
      </c>
      <c r="C31" s="4" t="s">
        <v>238</v>
      </c>
      <c r="D31" s="4" t="s">
        <v>239</v>
      </c>
      <c r="E31" s="4" t="s">
        <v>240</v>
      </c>
      <c r="F31" s="4" t="s">
        <v>241</v>
      </c>
      <c r="G31" s="4" t="s">
        <v>242</v>
      </c>
      <c r="H31" s="4" t="s">
        <v>243</v>
      </c>
      <c r="I31" s="4" t="s">
        <v>244</v>
      </c>
      <c r="J31" s="4" t="s">
        <v>245</v>
      </c>
    </row>
  </sheetData>
  <mergeCells count="1">
    <mergeCell ref="A1:J1"/>
  </mergeCells>
  <conditionalFormatting sqref="J4:J31">
    <cfRule type="expression" dxfId="1" priority="1">
      <formula>LOWER($J4)="não informado"</formula>
    </cfRule>
    <cfRule type="expression" dxfId="0" priority="2">
      <formula>LOWER($J4)&lt;&gt;"não informado"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opLeftCell="A3" workbookViewId="0">
      <selection activeCell="C12" sqref="C12"/>
    </sheetView>
  </sheetViews>
  <sheetFormatPr defaultRowHeight="14.25"/>
  <cols>
    <col min="1" max="1" width="32" customWidth="1"/>
    <col min="2" max="2" width="18" customWidth="1"/>
    <col min="3" max="3" width="48" customWidth="1"/>
  </cols>
  <sheetData>
    <row r="1" spans="1:6" ht="27.95" customHeight="1">
      <c r="A1" s="13" t="s">
        <v>246</v>
      </c>
      <c r="B1" s="14"/>
      <c r="C1" s="14"/>
      <c r="D1" s="14"/>
      <c r="E1" s="14"/>
      <c r="F1" s="14"/>
    </row>
    <row r="3" spans="1:6" ht="15">
      <c r="A3" s="1" t="s">
        <v>247</v>
      </c>
      <c r="B3" s="1" t="s">
        <v>248</v>
      </c>
      <c r="C3" s="1" t="s">
        <v>249</v>
      </c>
    </row>
    <row r="4" spans="1:6" ht="15">
      <c r="A4" s="6" t="s">
        <v>250</v>
      </c>
      <c r="B4" s="3">
        <f>COUNTA('Dados Analíticos'!A4:A31)</f>
        <v>28</v>
      </c>
      <c r="C4" s="3" t="s">
        <v>251</v>
      </c>
    </row>
    <row r="5" spans="1:6" ht="15">
      <c r="A5" s="6" t="s">
        <v>252</v>
      </c>
      <c r="B5" s="3">
        <f>COUNTIF('Dados Analíticos'!J4:J31,"&lt;&gt;não informado")</f>
        <v>15</v>
      </c>
      <c r="C5" s="3" t="s">
        <v>253</v>
      </c>
    </row>
    <row r="6" spans="1:6" ht="15">
      <c r="A6" s="6" t="s">
        <v>254</v>
      </c>
      <c r="B6" s="3">
        <f>COUNTIF('Dados Analíticos'!J4:J31,"não informado")</f>
        <v>13</v>
      </c>
      <c r="C6" s="3" t="s">
        <v>255</v>
      </c>
    </row>
    <row r="7" spans="1:6" ht="30">
      <c r="A7" s="6" t="s">
        <v>256</v>
      </c>
      <c r="B7" s="3">
        <f>COUNTIF('Dados Analíticos'!H4:H31,"não informado")</f>
        <v>3</v>
      </c>
      <c r="C7" s="3" t="s">
        <v>257</v>
      </c>
    </row>
    <row r="10" spans="1:6" ht="15">
      <c r="A10" s="7" t="s">
        <v>3</v>
      </c>
      <c r="B10" s="7" t="s">
        <v>258</v>
      </c>
    </row>
    <row r="11" spans="1:6">
      <c r="A11" s="4" t="s">
        <v>21</v>
      </c>
      <c r="B11" s="4">
        <v>2</v>
      </c>
    </row>
    <row r="12" spans="1:6">
      <c r="A12" s="4" t="s">
        <v>113</v>
      </c>
      <c r="B12" s="4">
        <v>1</v>
      </c>
    </row>
    <row r="13" spans="1:6">
      <c r="A13" s="4" t="s">
        <v>98</v>
      </c>
      <c r="B13" s="4">
        <v>1</v>
      </c>
    </row>
    <row r="14" spans="1:6">
      <c r="A14" s="4" t="s">
        <v>39</v>
      </c>
      <c r="B14" s="4">
        <v>1</v>
      </c>
    </row>
    <row r="15" spans="1:6">
      <c r="A15" s="4" t="s">
        <v>206</v>
      </c>
      <c r="B15" s="4">
        <v>1</v>
      </c>
    </row>
    <row r="16" spans="1:6">
      <c r="A16" s="4" t="s">
        <v>198</v>
      </c>
      <c r="B16" s="4">
        <v>1</v>
      </c>
    </row>
    <row r="17" spans="1:2">
      <c r="A17" s="4" t="s">
        <v>163</v>
      </c>
      <c r="B17" s="4">
        <v>1</v>
      </c>
    </row>
    <row r="18" spans="1:2">
      <c r="A18" s="4" t="s">
        <v>129</v>
      </c>
      <c r="B18" s="4">
        <v>1</v>
      </c>
    </row>
    <row r="19" spans="1:2">
      <c r="A19" s="4" t="s">
        <v>64</v>
      </c>
      <c r="B19" s="4">
        <v>1</v>
      </c>
    </row>
    <row r="20" spans="1:2">
      <c r="A20" s="4" t="s">
        <v>230</v>
      </c>
      <c r="B20" s="4">
        <v>1</v>
      </c>
    </row>
    <row r="21" spans="1:2">
      <c r="A21" s="4" t="s">
        <v>222</v>
      </c>
      <c r="B21" s="4">
        <v>1</v>
      </c>
    </row>
    <row r="22" spans="1:2">
      <c r="A22" s="4" t="s">
        <v>138</v>
      </c>
      <c r="B22" s="4">
        <v>1</v>
      </c>
    </row>
    <row r="23" spans="1:2">
      <c r="A23" s="4" t="s">
        <v>154</v>
      </c>
      <c r="B23" s="4">
        <v>1</v>
      </c>
    </row>
    <row r="24" spans="1:2">
      <c r="A24" s="4" t="s">
        <v>89</v>
      </c>
      <c r="B24" s="4">
        <v>1</v>
      </c>
    </row>
    <row r="25" spans="1:2">
      <c r="A25" s="4" t="s">
        <v>72</v>
      </c>
      <c r="B25" s="4">
        <v>1</v>
      </c>
    </row>
    <row r="26" spans="1:2">
      <c r="A26" s="4" t="s">
        <v>30</v>
      </c>
      <c r="B26" s="4">
        <v>1</v>
      </c>
    </row>
    <row r="27" spans="1:2">
      <c r="A27" s="4" t="s">
        <v>81</v>
      </c>
      <c r="B27" s="4">
        <v>1</v>
      </c>
    </row>
    <row r="28" spans="1:2">
      <c r="A28" s="4" t="s">
        <v>145</v>
      </c>
      <c r="B28" s="4">
        <v>1</v>
      </c>
    </row>
    <row r="29" spans="1:2">
      <c r="A29" s="4" t="s">
        <v>121</v>
      </c>
      <c r="B29" s="4">
        <v>1</v>
      </c>
    </row>
    <row r="30" spans="1:2">
      <c r="A30" s="4" t="s">
        <v>189</v>
      </c>
      <c r="B30" s="4">
        <v>1</v>
      </c>
    </row>
    <row r="31" spans="1:2">
      <c r="A31" s="4" t="s">
        <v>238</v>
      </c>
      <c r="B31" s="4">
        <v>1</v>
      </c>
    </row>
    <row r="32" spans="1:2">
      <c r="A32" s="4" t="s">
        <v>106</v>
      </c>
      <c r="B32" s="4">
        <v>1</v>
      </c>
    </row>
    <row r="33" spans="1:2">
      <c r="A33" s="4" t="s">
        <v>180</v>
      </c>
      <c r="B33" s="4">
        <v>1</v>
      </c>
    </row>
    <row r="34" spans="1:2">
      <c r="A34" s="4" t="s">
        <v>55</v>
      </c>
      <c r="B34" s="4">
        <v>1</v>
      </c>
    </row>
    <row r="35" spans="1:2">
      <c r="A35" s="4" t="s">
        <v>171</v>
      </c>
      <c r="B35" s="4">
        <v>1</v>
      </c>
    </row>
    <row r="36" spans="1:2">
      <c r="A36" s="4" t="s">
        <v>47</v>
      </c>
      <c r="B36" s="4">
        <v>1</v>
      </c>
    </row>
    <row r="37" spans="1:2" ht="28.5">
      <c r="A37" s="4" t="s">
        <v>12</v>
      </c>
      <c r="B37" s="4">
        <v>1</v>
      </c>
    </row>
    <row r="38" spans="1:2">
      <c r="A38" s="8"/>
      <c r="B38" s="8"/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8" sqref="C8"/>
    </sheetView>
  </sheetViews>
  <sheetFormatPr defaultRowHeight="14.25"/>
  <cols>
    <col min="1" max="1" width="10" customWidth="1"/>
    <col min="2" max="2" width="54" customWidth="1"/>
    <col min="3" max="3" width="48.5" bestFit="1" customWidth="1"/>
  </cols>
  <sheetData>
    <row r="1" spans="1:3" ht="26.1" customHeight="1">
      <c r="A1" s="15" t="s">
        <v>259</v>
      </c>
      <c r="B1" s="16"/>
      <c r="C1" s="16"/>
    </row>
    <row r="3" spans="1:3" ht="15">
      <c r="A3" s="5" t="s">
        <v>260</v>
      </c>
      <c r="B3" s="5" t="s">
        <v>261</v>
      </c>
      <c r="C3" s="5" t="s">
        <v>262</v>
      </c>
    </row>
    <row r="4" spans="1:3" ht="15">
      <c r="A4" s="9" t="s">
        <v>263</v>
      </c>
      <c r="B4" t="s">
        <v>6</v>
      </c>
      <c r="C4" t="s">
        <v>264</v>
      </c>
    </row>
    <row r="5" spans="1:3" ht="15">
      <c r="A5" s="9" t="s">
        <v>265</v>
      </c>
      <c r="B5" t="s">
        <v>266</v>
      </c>
      <c r="C5" t="s">
        <v>267</v>
      </c>
    </row>
    <row r="6" spans="1:3" ht="15">
      <c r="A6" s="9" t="s">
        <v>268</v>
      </c>
      <c r="B6" t="s">
        <v>269</v>
      </c>
      <c r="C6" t="s">
        <v>270</v>
      </c>
    </row>
    <row r="7" spans="1:3" ht="15">
      <c r="A7" s="9" t="s">
        <v>271</v>
      </c>
      <c r="B7" t="s">
        <v>272</v>
      </c>
      <c r="C7" t="s">
        <v>273</v>
      </c>
    </row>
    <row r="8" spans="1:3" ht="15">
      <c r="A8" s="9" t="s">
        <v>274</v>
      </c>
      <c r="B8" t="s">
        <v>275</v>
      </c>
      <c r="C8" t="s">
        <v>276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topLeftCell="A18" workbookViewId="0">
      <selection activeCell="A38" sqref="A38"/>
    </sheetView>
  </sheetViews>
  <sheetFormatPr defaultRowHeight="14.25"/>
  <cols>
    <col min="1" max="13" width="14" customWidth="1"/>
  </cols>
  <sheetData>
    <row r="1" spans="1:13" ht="15">
      <c r="A1" s="21" t="s">
        <v>277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>
      <c r="A2" s="22" t="s">
        <v>278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>
      <c r="A4" s="18" t="s">
        <v>279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>
      <c r="A5" s="23" t="s">
        <v>280</v>
      </c>
      <c r="B5" s="23"/>
      <c r="C5" s="23" t="s">
        <v>281</v>
      </c>
      <c r="D5" s="23"/>
      <c r="E5" s="23" t="s">
        <v>282</v>
      </c>
      <c r="F5" s="23"/>
      <c r="G5" s="23" t="s">
        <v>283</v>
      </c>
      <c r="H5" s="23"/>
      <c r="I5" s="23" t="s">
        <v>284</v>
      </c>
      <c r="J5" s="23"/>
      <c r="K5" s="23" t="s">
        <v>285</v>
      </c>
      <c r="L5" s="23"/>
      <c r="M5" s="23"/>
    </row>
    <row r="6" spans="1:1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5">
      <c r="A9" s="17" t="s">
        <v>286</v>
      </c>
      <c r="B9" s="16"/>
      <c r="C9" s="16"/>
      <c r="D9" s="16"/>
      <c r="E9" s="16"/>
      <c r="F9" s="16"/>
      <c r="G9" s="3"/>
      <c r="H9" s="17" t="s">
        <v>287</v>
      </c>
      <c r="I9" s="16"/>
      <c r="J9" s="16"/>
      <c r="K9" s="16"/>
      <c r="L9" s="16"/>
      <c r="M9" s="16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>
      <c r="A30" s="18" t="s">
        <v>288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29.25">
      <c r="A31" s="12" t="s">
        <v>263</v>
      </c>
      <c r="B31" s="11" t="s">
        <v>6</v>
      </c>
      <c r="C31" s="3"/>
      <c r="D31" s="19" t="s">
        <v>289</v>
      </c>
      <c r="E31" s="19"/>
      <c r="F31" s="19"/>
      <c r="G31" s="19"/>
      <c r="H31" s="19"/>
      <c r="I31" s="19"/>
      <c r="J31" s="19"/>
      <c r="K31" s="19"/>
      <c r="L31" s="19"/>
      <c r="M31" s="19"/>
    </row>
    <row r="32" spans="1:13" ht="57.75">
      <c r="A32" s="12" t="s">
        <v>265</v>
      </c>
      <c r="B32" s="11" t="s">
        <v>290</v>
      </c>
      <c r="C32" s="3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ht="72">
      <c r="A33" s="12" t="s">
        <v>268</v>
      </c>
      <c r="B33" s="11" t="s">
        <v>269</v>
      </c>
      <c r="C33" s="3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1:13" ht="72">
      <c r="A34" s="12" t="s">
        <v>271</v>
      </c>
      <c r="B34" s="11" t="s">
        <v>272</v>
      </c>
      <c r="C34" s="3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 ht="72">
      <c r="A35" s="12" t="s">
        <v>274</v>
      </c>
      <c r="B35" s="11" t="s">
        <v>275</v>
      </c>
      <c r="C35" s="3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20" t="s">
        <v>318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</sheetData>
  <mergeCells count="14">
    <mergeCell ref="A1:M1"/>
    <mergeCell ref="A2:M2"/>
    <mergeCell ref="A4:M4"/>
    <mergeCell ref="A5:B7"/>
    <mergeCell ref="C5:D7"/>
    <mergeCell ref="E5:F7"/>
    <mergeCell ref="G5:H7"/>
    <mergeCell ref="I5:J7"/>
    <mergeCell ref="K5:M7"/>
    <mergeCell ref="A9:F9"/>
    <mergeCell ref="H9:M9"/>
    <mergeCell ref="A30:M30"/>
    <mergeCell ref="D31:M35"/>
    <mergeCell ref="A37:M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D13" sqref="D13"/>
    </sheetView>
  </sheetViews>
  <sheetFormatPr defaultRowHeight="14.25"/>
  <cols>
    <col min="1" max="1" width="42" customWidth="1"/>
    <col min="2" max="2" width="12" customWidth="1"/>
    <col min="4" max="4" width="45" customWidth="1"/>
    <col min="5" max="5" width="12" customWidth="1"/>
    <col min="7" max="7" width="34" customWidth="1"/>
    <col min="8" max="8" width="14" customWidth="1"/>
  </cols>
  <sheetData>
    <row r="1" spans="1:8" ht="15">
      <c r="A1" s="10" t="s">
        <v>291</v>
      </c>
      <c r="B1" s="10" t="s">
        <v>292</v>
      </c>
      <c r="C1" s="3"/>
      <c r="D1" s="10" t="s">
        <v>293</v>
      </c>
      <c r="E1" s="10" t="s">
        <v>294</v>
      </c>
      <c r="F1" s="3"/>
      <c r="G1" s="10" t="s">
        <v>247</v>
      </c>
      <c r="H1" s="10" t="s">
        <v>248</v>
      </c>
    </row>
    <row r="2" spans="1:8">
      <c r="A2" s="3" t="s">
        <v>295</v>
      </c>
      <c r="B2" s="3">
        <v>10</v>
      </c>
      <c r="C2" s="3"/>
      <c r="D2" s="3" t="s">
        <v>296</v>
      </c>
      <c r="E2" s="3">
        <v>5</v>
      </c>
      <c r="F2" s="3"/>
      <c r="G2" s="3" t="s">
        <v>297</v>
      </c>
      <c r="H2" s="3">
        <v>28</v>
      </c>
    </row>
    <row r="3" spans="1:8">
      <c r="A3" s="3" t="s">
        <v>298</v>
      </c>
      <c r="B3" s="3">
        <v>6</v>
      </c>
      <c r="C3" s="3"/>
      <c r="D3" s="3" t="s">
        <v>64</v>
      </c>
      <c r="E3" s="3">
        <v>5</v>
      </c>
      <c r="F3" s="3"/>
      <c r="G3" s="3" t="s">
        <v>299</v>
      </c>
      <c r="H3" s="3" t="s">
        <v>300</v>
      </c>
    </row>
    <row r="4" spans="1:8">
      <c r="A4" s="3" t="s">
        <v>301</v>
      </c>
      <c r="B4" s="3">
        <v>4</v>
      </c>
      <c r="C4" s="3"/>
      <c r="D4" s="3" t="s">
        <v>12</v>
      </c>
      <c r="E4" s="3">
        <v>4</v>
      </c>
      <c r="F4" s="3"/>
      <c r="G4" s="3" t="s">
        <v>302</v>
      </c>
      <c r="H4" s="3">
        <v>15</v>
      </c>
    </row>
    <row r="5" spans="1:8">
      <c r="A5" s="3" t="s">
        <v>303</v>
      </c>
      <c r="B5" s="3">
        <v>4</v>
      </c>
      <c r="C5" s="3"/>
      <c r="D5" s="3" t="s">
        <v>304</v>
      </c>
      <c r="E5" s="3">
        <v>4</v>
      </c>
      <c r="F5" s="3"/>
      <c r="G5" s="3" t="s">
        <v>305</v>
      </c>
      <c r="H5" s="3" t="s">
        <v>306</v>
      </c>
    </row>
    <row r="6" spans="1:8">
      <c r="A6" s="3" t="s">
        <v>307</v>
      </c>
      <c r="B6" s="3">
        <v>3</v>
      </c>
      <c r="C6" s="3"/>
      <c r="D6" s="3" t="s">
        <v>308</v>
      </c>
      <c r="E6" s="3">
        <v>4</v>
      </c>
      <c r="F6" s="3"/>
      <c r="G6" s="3" t="s">
        <v>309</v>
      </c>
      <c r="H6" s="3">
        <v>15</v>
      </c>
    </row>
    <row r="7" spans="1:8">
      <c r="A7" s="3" t="s">
        <v>310</v>
      </c>
      <c r="B7" s="3">
        <v>3</v>
      </c>
      <c r="C7" s="3"/>
      <c r="D7" s="3" t="s">
        <v>311</v>
      </c>
      <c r="E7" s="3">
        <v>2</v>
      </c>
      <c r="F7" s="3"/>
      <c r="G7" s="3" t="s">
        <v>312</v>
      </c>
      <c r="H7" s="3">
        <v>3</v>
      </c>
    </row>
    <row r="8" spans="1:8">
      <c r="A8" s="3" t="s">
        <v>313</v>
      </c>
      <c r="B8" s="3">
        <v>3</v>
      </c>
      <c r="C8" s="3"/>
      <c r="D8" s="3" t="s">
        <v>314</v>
      </c>
      <c r="E8" s="3">
        <v>4</v>
      </c>
      <c r="F8" s="3"/>
      <c r="G8" s="3"/>
      <c r="H8" s="3"/>
    </row>
    <row r="9" spans="1:8">
      <c r="A9" s="3" t="s">
        <v>315</v>
      </c>
      <c r="B9" s="3">
        <v>2</v>
      </c>
      <c r="C9" s="3"/>
      <c r="D9" s="3"/>
      <c r="E9" s="3"/>
      <c r="F9" s="3"/>
      <c r="G9" s="3"/>
      <c r="H9" s="3"/>
    </row>
    <row r="10" spans="1:8">
      <c r="A10" s="3" t="s">
        <v>316</v>
      </c>
      <c r="B10" s="3">
        <v>2</v>
      </c>
      <c r="C10" s="3"/>
      <c r="D10" s="3"/>
      <c r="E10" s="3"/>
      <c r="F10" s="3"/>
      <c r="G10" s="3"/>
      <c r="H10" s="3"/>
    </row>
    <row r="11" spans="1:8">
      <c r="A11" s="3" t="s">
        <v>317</v>
      </c>
      <c r="B11" s="3">
        <v>13</v>
      </c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 Analíticos</vt:lpstr>
      <vt:lpstr>Resumo</vt:lpstr>
      <vt:lpstr>Critérios QP</vt:lpstr>
      <vt:lpstr>Painel Infográfico</vt:lpstr>
      <vt:lpstr>Dados dos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Carmino Junior Gomes</cp:lastModifiedBy>
  <dcterms:modified xsi:type="dcterms:W3CDTF">2026-05-19T13:31:52Z</dcterms:modified>
</cp:coreProperties>
</file>